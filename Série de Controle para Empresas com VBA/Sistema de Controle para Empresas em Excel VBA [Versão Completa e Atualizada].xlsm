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andro Henrique\Nextcloud\Leandro\Eu\Hashtag\Hashtag Treinamentos\Série de Controle para Empresas\"/>
    </mc:Choice>
  </mc:AlternateContent>
  <xr:revisionPtr revIDLastSave="0" documentId="13_ncr:1_{60F174F0-F8D7-4667-9FD7-0A9C9FE3DBA8}" xr6:coauthVersionLast="47" xr6:coauthVersionMax="47" xr10:uidLastSave="{00000000-0000-0000-0000-000000000000}"/>
  <bookViews>
    <workbookView xWindow="-120" yWindow="-120" windowWidth="29040" windowHeight="15840" xr2:uid="{4FB86C09-BFFA-4491-9224-A397861CD3D2}"/>
  </bookViews>
  <sheets>
    <sheet name="Compras" sheetId="1" r:id="rId1"/>
    <sheet name="Vendas" sheetId="2" r:id="rId2"/>
    <sheet name="Estoque" sheetId="3" r:id="rId3"/>
    <sheet name="Estoque_Aux" sheetId="8" r:id="rId4"/>
    <sheet name="Caixa" sheetId="4" r:id="rId5"/>
    <sheet name="DRE" sheetId="5" r:id="rId6"/>
    <sheet name="Cadastro" sheetId="6" r:id="rId7"/>
    <sheet name="Impressao" sheetId="9" r:id="rId8"/>
  </sheets>
  <functionGroups builtInGroupCount="19"/>
  <definedNames>
    <definedName name="_xlnm._FilterDatabase" localSheetId="4" hidden="1">Caixa!$A$1:$I$12</definedName>
    <definedName name="_xlnm._FilterDatabase" localSheetId="0" hidden="1">Compras!$A$1:$H$10</definedName>
    <definedName name="_xlnm._FilterDatabase" localSheetId="2" hidden="1">Estoque!$A$1:$E$5</definedName>
    <definedName name="_xlnm._FilterDatabase" localSheetId="1" hidden="1">Vendas!$A$1:$J$10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</calcChain>
</file>

<file path=xl/sharedStrings.xml><?xml version="1.0" encoding="utf-8"?>
<sst xmlns="http://schemas.openxmlformats.org/spreadsheetml/2006/main" count="159" uniqueCount="57">
  <si>
    <t>ID-M</t>
  </si>
  <si>
    <t>Data de Pagamento</t>
  </si>
  <si>
    <t>Data de Competência</t>
  </si>
  <si>
    <t>Fornecedor</t>
  </si>
  <si>
    <t>Produto</t>
  </si>
  <si>
    <t>Quantidade</t>
  </si>
  <si>
    <t>Custo Total</t>
  </si>
  <si>
    <t>Fornecedor 1</t>
  </si>
  <si>
    <t>Produto1</t>
  </si>
  <si>
    <t>Cliente</t>
  </si>
  <si>
    <t>Cliente 1</t>
  </si>
  <si>
    <t>Valor da Venda</t>
  </si>
  <si>
    <t>Custo Unitário</t>
  </si>
  <si>
    <t>Custo da Venda</t>
  </si>
  <si>
    <t>Compras</t>
  </si>
  <si>
    <t>Vendas</t>
  </si>
  <si>
    <t>Estoque</t>
  </si>
  <si>
    <t>Descrição</t>
  </si>
  <si>
    <t>Tipo</t>
  </si>
  <si>
    <t>Conta</t>
  </si>
  <si>
    <t>Valor</t>
  </si>
  <si>
    <t>Status</t>
  </si>
  <si>
    <t>Compra</t>
  </si>
  <si>
    <t>Banco 1</t>
  </si>
  <si>
    <t>Pago</t>
  </si>
  <si>
    <t>Venda</t>
  </si>
  <si>
    <t>Ano</t>
  </si>
  <si>
    <t>%</t>
  </si>
  <si>
    <t>Receita Bruta</t>
  </si>
  <si>
    <t>(-) Deduções da Receita</t>
  </si>
  <si>
    <t>Receita Líquida</t>
  </si>
  <si>
    <t>(-) CMV</t>
  </si>
  <si>
    <t>Resultado Bruto</t>
  </si>
  <si>
    <t>(-) Despesas Operacionais</t>
  </si>
  <si>
    <t>Resultado antes do I.R.</t>
  </si>
  <si>
    <t>(-) I.R.</t>
  </si>
  <si>
    <t>Resultado Líquido</t>
  </si>
  <si>
    <t>Conta de Luz</t>
  </si>
  <si>
    <t>Despesa</t>
  </si>
  <si>
    <t>Produto2</t>
  </si>
  <si>
    <t>Fornecedor 2</t>
  </si>
  <si>
    <t>Produto3</t>
  </si>
  <si>
    <t>Conta de Água</t>
  </si>
  <si>
    <t>Conta de Gás</t>
  </si>
  <si>
    <t>Cliente 2</t>
  </si>
  <si>
    <t>Em Aberto</t>
  </si>
  <si>
    <t>Banco 2</t>
  </si>
  <si>
    <t>Produto4</t>
  </si>
  <si>
    <t>Cliente 3</t>
  </si>
  <si>
    <t>Fornecedor 3</t>
  </si>
  <si>
    <t>Fornecedor 4</t>
  </si>
  <si>
    <t>Fornecedor 5</t>
  </si>
  <si>
    <t>Cliente 4</t>
  </si>
  <si>
    <t>Mês</t>
  </si>
  <si>
    <t>Estoque Mínimo</t>
  </si>
  <si>
    <t>Cliente 5</t>
  </si>
  <si>
    <t>Fornecedor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</si>
</sst>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4" fontId="2" fillId="2" borderId="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" fontId="2" fillId="2" borderId="1" xfId="0" applyNumberFormat="1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44" fontId="2" fillId="2" borderId="1" xfId="1" applyFont="1" applyFill="1" applyBorder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0" applyNumberFormat="1"/>
    <xf numFmtId="44" fontId="0" fillId="0" borderId="1" xfId="1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44" fontId="0" fillId="0" borderId="1" xfId="1" applyFont="1" applyBorder="1"/>
    <xf numFmtId="0" fontId="2" fillId="4" borderId="1" xfId="0" applyFont="1" applyFill="1" applyBorder="1"/>
    <xf numFmtId="44" fontId="2" fillId="4" borderId="1" xfId="1" applyFont="1" applyFill="1" applyBorder="1"/>
    <xf numFmtId="164" fontId="2" fillId="4" borderId="1" xfId="2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3" fontId="2" fillId="2" borderId="1" xfId="0" applyNumberFormat="1" applyFont="1" applyFill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1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17" fontId="2" fillId="3" borderId="1" xfId="0" applyNumberFormat="1" applyFont="1" applyFill="1" applyBorder="1" applyAlignment="1">
      <alignment horizontal="center"/>
    </xf>
    <xf numFmtId="44" fontId="0" fillId="0" borderId="0" xfId="1" applyFont="1"/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5013</xdr:rowOff>
    </xdr:from>
    <xdr:to>
      <xdr:col>9</xdr:col>
      <xdr:colOff>0</xdr:colOff>
      <xdr:row>1</xdr:row>
      <xdr:rowOff>0</xdr:rowOff>
    </xdr:to>
    <xdr:sp macro="[0]!abri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833E66-BC3B-409C-9395-77534599F29F}"/>
            </a:ext>
          </a:extLst>
        </xdr:cNvPr>
        <xdr:cNvSpPr/>
      </xdr:nvSpPr>
      <xdr:spPr>
        <a:xfrm>
          <a:off x="6030829" y="5013"/>
          <a:ext cx="1248276" cy="185487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5013</xdr:rowOff>
    </xdr:from>
    <xdr:to>
      <xdr:col>11</xdr:col>
      <xdr:colOff>0</xdr:colOff>
      <xdr:row>1</xdr:row>
      <xdr:rowOff>0</xdr:rowOff>
    </xdr:to>
    <xdr:sp macro="[0]!abri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62962C9-9E35-43AB-A91A-BC9F85B1A51B}"/>
            </a:ext>
          </a:extLst>
        </xdr:cNvPr>
        <xdr:cNvSpPr/>
      </xdr:nvSpPr>
      <xdr:spPr>
        <a:xfrm>
          <a:off x="6029325" y="5013"/>
          <a:ext cx="1247775" cy="185487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5013</xdr:rowOff>
    </xdr:from>
    <xdr:to>
      <xdr:col>7</xdr:col>
      <xdr:colOff>0</xdr:colOff>
      <xdr:row>1</xdr:row>
      <xdr:rowOff>0</xdr:rowOff>
    </xdr:to>
    <xdr:sp macro="[0]!abri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0CD8A79-79F6-4B1A-B794-9274DDC43EF3}"/>
            </a:ext>
          </a:extLst>
        </xdr:cNvPr>
        <xdr:cNvSpPr/>
      </xdr:nvSpPr>
      <xdr:spPr>
        <a:xfrm>
          <a:off x="6029325" y="5013"/>
          <a:ext cx="1247775" cy="185487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5013</xdr:rowOff>
    </xdr:from>
    <xdr:to>
      <xdr:col>10</xdr:col>
      <xdr:colOff>0</xdr:colOff>
      <xdr:row>1</xdr:row>
      <xdr:rowOff>0</xdr:rowOff>
    </xdr:to>
    <xdr:sp macro="[0]!abri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9DBB1E2-469C-4406-A0EB-E11120F3A8B1}"/>
            </a:ext>
          </a:extLst>
        </xdr:cNvPr>
        <xdr:cNvSpPr/>
      </xdr:nvSpPr>
      <xdr:spPr>
        <a:xfrm>
          <a:off x="6029325" y="5013"/>
          <a:ext cx="1247775" cy="185487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5013</xdr:rowOff>
    </xdr:from>
    <xdr:to>
      <xdr:col>5</xdr:col>
      <xdr:colOff>0</xdr:colOff>
      <xdr:row>1</xdr:row>
      <xdr:rowOff>0</xdr:rowOff>
    </xdr:to>
    <xdr:sp macro="[0]!abri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6AF396C-B272-40F6-AD65-78CE4D368735}"/>
            </a:ext>
          </a:extLst>
        </xdr:cNvPr>
        <xdr:cNvSpPr/>
      </xdr:nvSpPr>
      <xdr:spPr>
        <a:xfrm>
          <a:off x="6029325" y="5013"/>
          <a:ext cx="1247775" cy="185487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10</xdr:col>
      <xdr:colOff>32136</xdr:colOff>
      <xdr:row>0</xdr:row>
      <xdr:rowOff>185487</xdr:rowOff>
    </xdr:to>
    <xdr:sp macro="[0]!abri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0C02A8E-EEA0-4698-BB02-B90EE3B17617}"/>
            </a:ext>
          </a:extLst>
        </xdr:cNvPr>
        <xdr:cNvSpPr/>
      </xdr:nvSpPr>
      <xdr:spPr>
        <a:xfrm>
          <a:off x="4406348" y="0"/>
          <a:ext cx="1249679" cy="185487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914303-FB89-49AE-A173-A326F2622EA4}" name="TabProduto" displayName="TabProduto" ref="A1:A5" totalsRowShown="0">
  <autoFilter ref="A1:A5" xr:uid="{60914303-FB89-49AE-A173-A326F2622EA4}"/>
  <tableColumns count="1">
    <tableColumn id="1" xr3:uid="{63B4D466-4A9A-4354-BEA3-17CD6D751FA7}" name="Produt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B64BCE-8B09-49F2-8588-0460CBE4DDB5}" name="TabFornecedor" displayName="TabFornecedor" ref="B1:B7" totalsRowShown="0">
  <autoFilter ref="B1:B7" xr:uid="{18B64BCE-8B09-49F2-8588-0460CBE4DDB5}"/>
  <tableColumns count="1">
    <tableColumn id="1" xr3:uid="{B0DECF95-D3FD-4805-BDA5-3CACAF0D50EE}" name="Fornecedor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1D503-EFEA-4C8B-BBDC-B6563DB5A816}" name="TabCliente" displayName="TabCliente" ref="C1:C6" totalsRowShown="0">
  <autoFilter ref="C1:C6" xr:uid="{AF31D503-EFEA-4C8B-BBDC-B6563DB5A816}"/>
  <tableColumns count="1">
    <tableColumn id="1" xr3:uid="{352B5AC5-CDA0-4358-8937-FF9F4C66E329}" name="Cliente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3E0C14-2077-4A51-9398-856B9AD55ADC}" name="TabStatus" displayName="TabStatus" ref="D1:D3" totalsRowShown="0">
  <autoFilter ref="D1:D3" xr:uid="{593E0C14-2077-4A51-9398-856B9AD55ADC}"/>
  <tableColumns count="1">
    <tableColumn id="1" xr3:uid="{7B53021D-92DF-43D3-BF7F-8DF646EC9BED}" name="Status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F2EEBA6-86FD-40B3-92EF-9C53D9368A22}" name="TabConta" displayName="TabConta" ref="E1:E3" totalsRowShown="0">
  <autoFilter ref="E1:E3" xr:uid="{5F2EEBA6-86FD-40B3-92EF-9C53D9368A22}"/>
  <tableColumns count="1">
    <tableColumn id="1" xr3:uid="{6C721F4E-2A7B-4608-BD83-F2E21AD2832A}" name="Conta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69EC16-E357-470F-9960-7994CA5C8367}" name="TabAno" displayName="TabAno" ref="F1:F3" totalsRowShown="0">
  <autoFilter ref="F1:F3" xr:uid="{CB69EC16-E357-470F-9960-7994CA5C8367}"/>
  <tableColumns count="1">
    <tableColumn id="1" xr3:uid="{78C93CEB-FD8B-4EFB-B06F-72B663908BA0}" name="Ano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EBE3C6-9F51-4560-BDA9-3C57D15EAABC}" name="TabTipo" displayName="TabTipo" ref="H1:H4" totalsRowShown="0">
  <autoFilter ref="H1:H4" xr:uid="{D0EBE3C6-9F51-4560-BDA9-3C57D15EAABC}"/>
  <tableColumns count="1">
    <tableColumn id="1" xr3:uid="{BE3EC79B-51A0-4EDD-A45B-2BEB8DD253B1}" name="Tipo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0E7E751-5E6A-4FE2-8CE7-E3AEEBC3B159}" name="TabMes" displayName="TabMes" ref="G1:G14" totalsRowShown="0">
  <autoFilter ref="G1:G14" xr:uid="{D0E7E751-5E6A-4FE2-8CE7-E3AEEBC3B159}"/>
  <tableColumns count="1">
    <tableColumn id="1" xr3:uid="{26E908BA-B25D-4152-AF38-6ED6C125B86E}" name="Mê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2E81F-FA8B-4DC2-B90C-05D571925E29}">
  <sheetPr codeName="Planilha1"/>
  <dimension ref="A1:H10"/>
  <sheetViews>
    <sheetView showGridLines="0" tabSelected="1" zoomScale="190" zoomScaleNormal="190" workbookViewId="0">
      <selection activeCell="E7" sqref="E7"/>
    </sheetView>
  </sheetViews>
  <sheetFormatPr defaultRowHeight="15" x14ac:dyDescent="0.25"/>
  <cols>
    <col min="1" max="1" width="5.42578125" style="5" bestFit="1" customWidth="1"/>
    <col min="2" max="2" width="18.42578125" style="7" bestFit="1" customWidth="1"/>
    <col min="3" max="3" width="20.140625" style="7" bestFit="1" customWidth="1"/>
    <col min="4" max="4" width="12.5703125" style="5" bestFit="1" customWidth="1"/>
    <col min="5" max="5" width="9.140625" style="5" bestFit="1" customWidth="1"/>
    <col min="6" max="6" width="12.28515625" style="25" bestFit="1" customWidth="1"/>
    <col min="7" max="7" width="13.28515625" style="13" bestFit="1" customWidth="1"/>
    <col min="8" max="8" width="9.5703125" bestFit="1" customWidth="1"/>
  </cols>
  <sheetData>
    <row r="1" spans="1:8" x14ac:dyDescent="0.25">
      <c r="A1" s="1" t="s">
        <v>0</v>
      </c>
      <c r="B1" s="6" t="s">
        <v>1</v>
      </c>
      <c r="C1" s="6" t="s">
        <v>2</v>
      </c>
      <c r="D1" s="1" t="s">
        <v>3</v>
      </c>
      <c r="E1" s="1" t="s">
        <v>4</v>
      </c>
      <c r="F1" s="22" t="s">
        <v>5</v>
      </c>
      <c r="G1" s="11" t="s">
        <v>6</v>
      </c>
    </row>
    <row r="2" spans="1:8" x14ac:dyDescent="0.25">
      <c r="A2" s="3">
        <v>1</v>
      </c>
      <c r="B2" s="4">
        <v>44484</v>
      </c>
      <c r="C2" s="4">
        <v>44484</v>
      </c>
      <c r="D2" s="3" t="s">
        <v>7</v>
      </c>
      <c r="E2" s="3" t="s">
        <v>8</v>
      </c>
      <c r="F2" s="23">
        <v>500</v>
      </c>
      <c r="G2" s="12">
        <v>15298.19</v>
      </c>
      <c r="H2" s="14"/>
    </row>
    <row r="3" spans="1:8" x14ac:dyDescent="0.25">
      <c r="A3" s="3">
        <v>5</v>
      </c>
      <c r="B3" s="4">
        <v>44519</v>
      </c>
      <c r="C3" s="4">
        <v>44519</v>
      </c>
      <c r="D3" s="3" t="s">
        <v>40</v>
      </c>
      <c r="E3" s="3" t="s">
        <v>41</v>
      </c>
      <c r="F3" s="23">
        <v>300</v>
      </c>
      <c r="G3" s="12">
        <v>7581.95</v>
      </c>
    </row>
    <row r="4" spans="1:8" x14ac:dyDescent="0.25">
      <c r="A4" s="3">
        <v>7</v>
      </c>
      <c r="B4" s="4">
        <v>44520</v>
      </c>
      <c r="C4" s="4">
        <v>44519</v>
      </c>
      <c r="D4" s="3" t="s">
        <v>40</v>
      </c>
      <c r="E4" s="3" t="s">
        <v>39</v>
      </c>
      <c r="F4" s="23">
        <v>850</v>
      </c>
      <c r="G4" s="12">
        <v>11000.92</v>
      </c>
    </row>
    <row r="5" spans="1:8" x14ac:dyDescent="0.25">
      <c r="A5" s="3">
        <v>12</v>
      </c>
      <c r="B5" s="4">
        <v>44582</v>
      </c>
      <c r="C5" s="4">
        <v>44582</v>
      </c>
      <c r="D5" s="3" t="s">
        <v>51</v>
      </c>
      <c r="E5" s="3" t="s">
        <v>47</v>
      </c>
      <c r="F5" s="23">
        <v>1500</v>
      </c>
      <c r="G5" s="12">
        <v>29781.15</v>
      </c>
    </row>
    <row r="6" spans="1:8" x14ac:dyDescent="0.25">
      <c r="C6" s="5"/>
      <c r="E6" s="10"/>
      <c r="F6" s="24"/>
      <c r="G6" s="27"/>
    </row>
    <row r="7" spans="1:8" x14ac:dyDescent="0.25">
      <c r="C7" s="21"/>
      <c r="E7" s="10"/>
      <c r="F7" s="24"/>
      <c r="G7" s="27"/>
    </row>
    <row r="8" spans="1:8" x14ac:dyDescent="0.25">
      <c r="C8" s="5"/>
      <c r="E8" s="10"/>
      <c r="F8" s="24"/>
      <c r="G8" s="27"/>
    </row>
    <row r="9" spans="1:8" x14ac:dyDescent="0.25">
      <c r="C9" s="5"/>
      <c r="E9" s="10"/>
      <c r="F9" s="24"/>
      <c r="G9" s="27"/>
    </row>
    <row r="10" spans="1:8" x14ac:dyDescent="0.25">
      <c r="C10" s="5"/>
      <c r="E10" s="10"/>
      <c r="F10" s="24"/>
      <c r="G10" s="27"/>
    </row>
  </sheetData>
  <dataConsolidate/>
  <phoneticPr fontId="3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A6C8-F910-44BF-9FE9-1B860184A9BA}">
  <sheetPr codeName="Planilha2"/>
  <dimension ref="A1:J10"/>
  <sheetViews>
    <sheetView showGridLines="0" zoomScale="190" zoomScaleNormal="190" workbookViewId="0"/>
  </sheetViews>
  <sheetFormatPr defaultRowHeight="15" x14ac:dyDescent="0.25"/>
  <cols>
    <col min="1" max="1" width="5.42578125" style="5" bestFit="1" customWidth="1"/>
    <col min="2" max="2" width="18.42578125" style="7" bestFit="1" customWidth="1"/>
    <col min="3" max="3" width="20.140625" style="7" bestFit="1" customWidth="1"/>
    <col min="4" max="4" width="8.85546875" style="5" bestFit="1" customWidth="1"/>
    <col min="5" max="5" width="9.140625" style="5" bestFit="1"/>
    <col min="6" max="6" width="11.42578125" style="25" bestFit="1" customWidth="1"/>
    <col min="7" max="7" width="16" style="13" bestFit="1" customWidth="1"/>
    <col min="8" max="8" width="15.28515625" style="13" bestFit="1" customWidth="1"/>
    <col min="9" max="9" width="16.28515625" style="13" bestFit="1" customWidth="1"/>
    <col min="10" max="10" width="9.5703125" bestFit="1" customWidth="1"/>
  </cols>
  <sheetData>
    <row r="1" spans="1:10" x14ac:dyDescent="0.25">
      <c r="A1" s="1" t="s">
        <v>0</v>
      </c>
      <c r="B1" s="6" t="s">
        <v>1</v>
      </c>
      <c r="C1" s="6" t="s">
        <v>2</v>
      </c>
      <c r="D1" s="1" t="s">
        <v>9</v>
      </c>
      <c r="E1" s="1" t="s">
        <v>4</v>
      </c>
      <c r="F1" s="22" t="s">
        <v>5</v>
      </c>
      <c r="G1" s="11" t="s">
        <v>11</v>
      </c>
      <c r="H1" s="11" t="s">
        <v>12</v>
      </c>
      <c r="I1" s="11" t="s">
        <v>13</v>
      </c>
    </row>
    <row r="2" spans="1:10" x14ac:dyDescent="0.25">
      <c r="A2" s="3">
        <v>2</v>
      </c>
      <c r="B2" s="4">
        <v>44484</v>
      </c>
      <c r="C2" s="4">
        <v>44484</v>
      </c>
      <c r="D2" s="3" t="s">
        <v>10</v>
      </c>
      <c r="E2" s="3" t="s">
        <v>8</v>
      </c>
      <c r="F2" s="23">
        <v>500</v>
      </c>
      <c r="G2" s="12">
        <v>25189.97</v>
      </c>
      <c r="H2" s="12">
        <v>30.59638</v>
      </c>
      <c r="I2" s="12">
        <v>15298.19</v>
      </c>
      <c r="J2" s="14"/>
    </row>
    <row r="3" spans="1:10" x14ac:dyDescent="0.25">
      <c r="A3" s="3">
        <v>6</v>
      </c>
      <c r="B3" s="4">
        <v>44519</v>
      </c>
      <c r="C3" s="4">
        <v>44519</v>
      </c>
      <c r="D3" s="3" t="s">
        <v>10</v>
      </c>
      <c r="E3" s="3" t="s">
        <v>39</v>
      </c>
      <c r="F3" s="23">
        <v>850</v>
      </c>
      <c r="G3" s="12">
        <v>105980.85</v>
      </c>
      <c r="H3" s="12">
        <v>16.143688888888889</v>
      </c>
      <c r="I3" s="12">
        <f>ROUND(H3*F3,2)</f>
        <v>13722.14</v>
      </c>
    </row>
    <row r="4" spans="1:10" x14ac:dyDescent="0.25">
      <c r="A4" s="3">
        <v>11</v>
      </c>
      <c r="B4" s="4">
        <v>44574</v>
      </c>
      <c r="C4" s="4">
        <v>44574</v>
      </c>
      <c r="D4" s="3" t="s">
        <v>10</v>
      </c>
      <c r="E4" s="3" t="s">
        <v>41</v>
      </c>
      <c r="F4" s="23">
        <v>200</v>
      </c>
      <c r="G4" s="12">
        <v>12145.54</v>
      </c>
      <c r="H4" s="12">
        <v>25.27</v>
      </c>
      <c r="I4" s="12">
        <v>5054.63</v>
      </c>
    </row>
    <row r="5" spans="1:10" x14ac:dyDescent="0.25">
      <c r="F5" s="24"/>
      <c r="I5" s="27"/>
    </row>
    <row r="6" spans="1:10" x14ac:dyDescent="0.25">
      <c r="F6" s="24"/>
      <c r="I6" s="27"/>
    </row>
    <row r="7" spans="1:10" x14ac:dyDescent="0.25">
      <c r="F7" s="24"/>
      <c r="I7" s="27"/>
    </row>
    <row r="8" spans="1:10" x14ac:dyDescent="0.25">
      <c r="F8" s="24"/>
      <c r="I8" s="27"/>
    </row>
    <row r="9" spans="1:10" x14ac:dyDescent="0.25">
      <c r="F9" s="24"/>
      <c r="I9" s="27"/>
    </row>
    <row r="10" spans="1:10" x14ac:dyDescent="0.25">
      <c r="F10" s="24"/>
      <c r="I10" s="27"/>
    </row>
  </sheetData>
  <phoneticPr fontId="3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636DC-D4DA-46F5-8652-0BB58584E30C}">
  <sheetPr codeName="Planilha3"/>
  <dimension ref="A1:F5"/>
  <sheetViews>
    <sheetView showGridLines="0" zoomScale="250" zoomScaleNormal="250" workbookViewId="0"/>
  </sheetViews>
  <sheetFormatPr defaultRowHeight="15" x14ac:dyDescent="0.25"/>
  <cols>
    <col min="2" max="4" width="11.42578125" style="25" bestFit="1" customWidth="1"/>
    <col min="5" max="5" width="15.7109375" style="25" bestFit="1" customWidth="1"/>
    <col min="6" max="6" width="9.5703125" bestFit="1" customWidth="1"/>
  </cols>
  <sheetData>
    <row r="1" spans="1:6" x14ac:dyDescent="0.25">
      <c r="A1" s="6" t="s">
        <v>4</v>
      </c>
      <c r="B1" s="22" t="s">
        <v>14</v>
      </c>
      <c r="C1" s="22" t="s">
        <v>15</v>
      </c>
      <c r="D1" s="22" t="s">
        <v>16</v>
      </c>
      <c r="E1" s="22" t="s">
        <v>54</v>
      </c>
    </row>
    <row r="2" spans="1:6" x14ac:dyDescent="0.25">
      <c r="A2" s="2" t="s">
        <v>8</v>
      </c>
      <c r="B2" s="23">
        <v>500</v>
      </c>
      <c r="C2" s="23">
        <v>500</v>
      </c>
      <c r="D2" s="23">
        <v>0</v>
      </c>
      <c r="E2" s="23">
        <v>100</v>
      </c>
      <c r="F2" s="14"/>
    </row>
    <row r="3" spans="1:6" x14ac:dyDescent="0.25">
      <c r="A3" s="2" t="s">
        <v>39</v>
      </c>
      <c r="B3" s="23">
        <v>850</v>
      </c>
      <c r="C3" s="23">
        <v>850</v>
      </c>
      <c r="D3" s="23">
        <v>0</v>
      </c>
      <c r="E3" s="23">
        <v>0</v>
      </c>
    </row>
    <row r="4" spans="1:6" x14ac:dyDescent="0.25">
      <c r="A4" s="2" t="s">
        <v>41</v>
      </c>
      <c r="B4" s="23">
        <v>300</v>
      </c>
      <c r="C4" s="23">
        <v>200</v>
      </c>
      <c r="D4" s="23">
        <v>100</v>
      </c>
      <c r="E4" s="23">
        <v>150</v>
      </c>
    </row>
    <row r="5" spans="1:6" x14ac:dyDescent="0.25">
      <c r="A5" s="2" t="s">
        <v>47</v>
      </c>
      <c r="B5" s="23">
        <v>1500</v>
      </c>
      <c r="C5" s="23">
        <v>0</v>
      </c>
      <c r="D5" s="23">
        <v>1500</v>
      </c>
      <c r="E5" s="23">
        <v>500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66D30-99BF-4E31-ACE0-567BCBE97353}">
  <sheetPr codeName="Planilha8"/>
  <dimension ref="A1:E3"/>
  <sheetViews>
    <sheetView zoomScale="250" zoomScaleNormal="250" workbookViewId="0"/>
  </sheetViews>
  <sheetFormatPr defaultRowHeight="15" x14ac:dyDescent="0.25"/>
  <cols>
    <col min="1" max="1" width="9.140625" bestFit="1" customWidth="1"/>
    <col min="2" max="2" width="8.7109375" bestFit="1" customWidth="1"/>
    <col min="3" max="3" width="7.5703125" bestFit="1" customWidth="1"/>
    <col min="4" max="4" width="8.140625" bestFit="1" customWidth="1"/>
    <col min="5" max="5" width="15.7109375" bestFit="1" customWidth="1"/>
  </cols>
  <sheetData>
    <row r="1" spans="1:5" x14ac:dyDescent="0.25">
      <c r="A1" s="6" t="s">
        <v>4</v>
      </c>
      <c r="B1" s="8" t="s">
        <v>14</v>
      </c>
      <c r="C1" s="8" t="s">
        <v>15</v>
      </c>
      <c r="D1" s="8" t="s">
        <v>16</v>
      </c>
      <c r="E1" s="8" t="s">
        <v>54</v>
      </c>
    </row>
    <row r="2" spans="1:5" x14ac:dyDescent="0.25">
      <c r="A2" s="2" t="s">
        <v>8</v>
      </c>
      <c r="B2" s="9">
        <v>500</v>
      </c>
      <c r="C2" s="9">
        <v>500</v>
      </c>
      <c r="D2" s="9">
        <v>0</v>
      </c>
      <c r="E2" s="9">
        <v>100</v>
      </c>
    </row>
    <row r="3" spans="1:5" x14ac:dyDescent="0.25">
      <c r="A3" s="2" t="s">
        <v>41</v>
      </c>
      <c r="B3" s="9">
        <v>300</v>
      </c>
      <c r="C3" s="9">
        <v>200</v>
      </c>
      <c r="D3" s="9">
        <v>100</v>
      </c>
      <c r="E3" s="9">
        <v>150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2964-A2D9-4582-B599-1E15A1802690}">
  <sheetPr codeName="Planilha4"/>
  <dimension ref="A1:I12"/>
  <sheetViews>
    <sheetView showGridLines="0" zoomScale="190" zoomScaleNormal="190" workbookViewId="0"/>
  </sheetViews>
  <sheetFormatPr defaultRowHeight="15" x14ac:dyDescent="0.25"/>
  <cols>
    <col min="1" max="1" width="5.42578125" style="5" customWidth="1"/>
    <col min="2" max="2" width="18.42578125" style="5" bestFit="1" customWidth="1"/>
    <col min="3" max="3" width="20.140625" style="5" bestFit="1" customWidth="1"/>
    <col min="4" max="4" width="13.85546875" style="5" bestFit="1" customWidth="1"/>
    <col min="5" max="5" width="8.42578125" style="5" bestFit="1" customWidth="1"/>
    <col min="6" max="6" width="9.140625" style="5" bestFit="1" customWidth="1"/>
    <col min="7" max="7" width="14.42578125" style="13" bestFit="1" customWidth="1"/>
    <col min="8" max="8" width="7.85546875" style="5" bestFit="1" customWidth="1"/>
    <col min="9" max="9" width="9.5703125" bestFit="1" customWidth="1"/>
  </cols>
  <sheetData>
    <row r="1" spans="1:9" x14ac:dyDescent="0.25">
      <c r="A1" s="1" t="s">
        <v>0</v>
      </c>
      <c r="B1" s="6" t="s">
        <v>1</v>
      </c>
      <c r="C1" s="6" t="s">
        <v>2</v>
      </c>
      <c r="D1" s="1" t="s">
        <v>17</v>
      </c>
      <c r="E1" s="1" t="s">
        <v>18</v>
      </c>
      <c r="F1" s="8" t="s">
        <v>19</v>
      </c>
      <c r="G1" s="11" t="s">
        <v>20</v>
      </c>
      <c r="H1" s="11" t="s">
        <v>21</v>
      </c>
    </row>
    <row r="2" spans="1:9" x14ac:dyDescent="0.25">
      <c r="A2" s="3">
        <v>1</v>
      </c>
      <c r="B2" s="4">
        <v>44484</v>
      </c>
      <c r="C2" s="4">
        <v>44484</v>
      </c>
      <c r="D2" s="3" t="s">
        <v>8</v>
      </c>
      <c r="E2" s="3" t="s">
        <v>22</v>
      </c>
      <c r="F2" s="9" t="s">
        <v>23</v>
      </c>
      <c r="G2" s="12">
        <v>-15298.19</v>
      </c>
      <c r="H2" s="15" t="s">
        <v>24</v>
      </c>
      <c r="I2" s="14"/>
    </row>
    <row r="3" spans="1:9" x14ac:dyDescent="0.25">
      <c r="A3" s="3">
        <v>2</v>
      </c>
      <c r="B3" s="4">
        <v>44484</v>
      </c>
      <c r="C3" s="4">
        <v>44484</v>
      </c>
      <c r="D3" s="3" t="s">
        <v>8</v>
      </c>
      <c r="E3" s="3" t="s">
        <v>25</v>
      </c>
      <c r="F3" s="9" t="s">
        <v>23</v>
      </c>
      <c r="G3" s="12">
        <v>25189.97</v>
      </c>
      <c r="H3" s="15" t="s">
        <v>24</v>
      </c>
    </row>
    <row r="4" spans="1:9" x14ac:dyDescent="0.25">
      <c r="A4" s="3">
        <v>3</v>
      </c>
      <c r="B4" s="4">
        <v>44484</v>
      </c>
      <c r="C4" s="4">
        <v>44484</v>
      </c>
      <c r="D4" s="3" t="s">
        <v>37</v>
      </c>
      <c r="E4" s="3" t="s">
        <v>38</v>
      </c>
      <c r="F4" s="9" t="s">
        <v>23</v>
      </c>
      <c r="G4" s="12">
        <v>-100</v>
      </c>
      <c r="H4" s="15" t="s">
        <v>24</v>
      </c>
    </row>
    <row r="5" spans="1:9" x14ac:dyDescent="0.25">
      <c r="A5" s="3">
        <v>4</v>
      </c>
      <c r="B5" s="4">
        <v>44518</v>
      </c>
      <c r="C5" s="4">
        <v>44518</v>
      </c>
      <c r="D5" s="3" t="s">
        <v>39</v>
      </c>
      <c r="E5" s="3" t="s">
        <v>22</v>
      </c>
      <c r="F5" s="3" t="s">
        <v>23</v>
      </c>
      <c r="G5" s="12">
        <v>-14529.32</v>
      </c>
      <c r="H5" s="3" t="s">
        <v>24</v>
      </c>
    </row>
    <row r="6" spans="1:9" x14ac:dyDescent="0.25">
      <c r="A6" s="3">
        <v>5</v>
      </c>
      <c r="B6" s="4">
        <v>44519</v>
      </c>
      <c r="C6" s="4">
        <v>44519</v>
      </c>
      <c r="D6" s="3" t="s">
        <v>41</v>
      </c>
      <c r="E6" s="3" t="s">
        <v>22</v>
      </c>
      <c r="F6" s="3" t="s">
        <v>23</v>
      </c>
      <c r="G6" s="12">
        <v>-7581.95</v>
      </c>
      <c r="H6" s="3" t="s">
        <v>24</v>
      </c>
    </row>
    <row r="7" spans="1:9" x14ac:dyDescent="0.25">
      <c r="A7" s="3">
        <v>6</v>
      </c>
      <c r="B7" s="4">
        <v>44519</v>
      </c>
      <c r="C7" s="4">
        <v>44519</v>
      </c>
      <c r="D7" s="3" t="s">
        <v>39</v>
      </c>
      <c r="E7" s="3" t="s">
        <v>25</v>
      </c>
      <c r="F7" s="3" t="s">
        <v>23</v>
      </c>
      <c r="G7" s="12">
        <v>105980.85</v>
      </c>
      <c r="H7" s="3" t="s">
        <v>24</v>
      </c>
    </row>
    <row r="8" spans="1:9" x14ac:dyDescent="0.25">
      <c r="A8" s="3">
        <v>7</v>
      </c>
      <c r="B8" s="4">
        <v>44520</v>
      </c>
      <c r="C8" s="4">
        <v>44519</v>
      </c>
      <c r="D8" s="3" t="s">
        <v>39</v>
      </c>
      <c r="E8" s="3" t="s">
        <v>22</v>
      </c>
      <c r="F8" s="3" t="s">
        <v>23</v>
      </c>
      <c r="G8" s="12">
        <v>-11000.92</v>
      </c>
      <c r="H8" s="3" t="s">
        <v>24</v>
      </c>
    </row>
    <row r="9" spans="1:9" x14ac:dyDescent="0.25">
      <c r="A9" s="3">
        <v>9</v>
      </c>
      <c r="B9" s="4">
        <v>44521</v>
      </c>
      <c r="C9" s="4">
        <v>44521</v>
      </c>
      <c r="D9" s="3" t="s">
        <v>42</v>
      </c>
      <c r="E9" s="3" t="s">
        <v>38</v>
      </c>
      <c r="F9" s="3" t="s">
        <v>23</v>
      </c>
      <c r="G9" s="12">
        <v>-50</v>
      </c>
      <c r="H9" s="3" t="s">
        <v>24</v>
      </c>
    </row>
    <row r="10" spans="1:9" x14ac:dyDescent="0.25">
      <c r="A10" s="3">
        <v>10</v>
      </c>
      <c r="B10" s="4">
        <v>44523</v>
      </c>
      <c r="C10" s="4">
        <v>44522</v>
      </c>
      <c r="D10" s="3" t="s">
        <v>43</v>
      </c>
      <c r="E10" s="3" t="s">
        <v>38</v>
      </c>
      <c r="F10" s="12" t="s">
        <v>23</v>
      </c>
      <c r="G10" s="12">
        <v>-25</v>
      </c>
      <c r="H10" s="3" t="s">
        <v>24</v>
      </c>
    </row>
    <row r="11" spans="1:9" x14ac:dyDescent="0.25">
      <c r="A11" s="3">
        <v>11</v>
      </c>
      <c r="B11" s="4">
        <v>44574</v>
      </c>
      <c r="C11" s="4">
        <v>44574</v>
      </c>
      <c r="D11" s="3" t="s">
        <v>41</v>
      </c>
      <c r="E11" s="3" t="s">
        <v>25</v>
      </c>
      <c r="F11" s="12" t="s">
        <v>23</v>
      </c>
      <c r="G11" s="12">
        <v>12145.54</v>
      </c>
      <c r="H11" s="3" t="s">
        <v>24</v>
      </c>
    </row>
    <row r="12" spans="1:9" x14ac:dyDescent="0.25">
      <c r="A12" s="3">
        <v>12</v>
      </c>
      <c r="B12" s="4">
        <v>44582</v>
      </c>
      <c r="C12" s="4">
        <v>44582</v>
      </c>
      <c r="D12" s="3" t="s">
        <v>47</v>
      </c>
      <c r="E12" s="3" t="s">
        <v>22</v>
      </c>
      <c r="F12" s="12" t="s">
        <v>23</v>
      </c>
      <c r="G12" s="12">
        <v>-29781.15</v>
      </c>
      <c r="H12" s="3" t="s">
        <v>24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C4ED-33BA-497E-927D-D5FA450636B7}">
  <sheetPr codeName="Planilha5"/>
  <dimension ref="A1:D10"/>
  <sheetViews>
    <sheetView showGridLines="0" zoomScale="250" zoomScaleNormal="250" workbookViewId="0"/>
  </sheetViews>
  <sheetFormatPr defaultRowHeight="15" x14ac:dyDescent="0.25"/>
  <cols>
    <col min="1" max="1" width="24.28515625" bestFit="1" customWidth="1"/>
    <col min="2" max="2" width="16.140625" customWidth="1"/>
    <col min="3" max="3" width="7.42578125" customWidth="1"/>
    <col min="4" max="4" width="9.5703125" bestFit="1" customWidth="1"/>
  </cols>
  <sheetData>
    <row r="1" spans="1:4" x14ac:dyDescent="0.25">
      <c r="A1" s="16" t="s">
        <v>53</v>
      </c>
      <c r="B1" s="26">
        <v>44470</v>
      </c>
      <c r="C1" s="16" t="s">
        <v>27</v>
      </c>
    </row>
    <row r="2" spans="1:4" x14ac:dyDescent="0.25">
      <c r="A2" s="2" t="s">
        <v>28</v>
      </c>
      <c r="B2" s="17">
        <v>25189.97</v>
      </c>
      <c r="C2" s="12"/>
      <c r="D2" s="14"/>
    </row>
    <row r="3" spans="1:4" x14ac:dyDescent="0.25">
      <c r="A3" s="2" t="s">
        <v>29</v>
      </c>
      <c r="B3" s="17">
        <v>0</v>
      </c>
      <c r="C3" s="12"/>
    </row>
    <row r="4" spans="1:4" x14ac:dyDescent="0.25">
      <c r="A4" s="18" t="s">
        <v>30</v>
      </c>
      <c r="B4" s="19">
        <v>25189.97</v>
      </c>
      <c r="C4" s="20">
        <v>1</v>
      </c>
    </row>
    <row r="5" spans="1:4" x14ac:dyDescent="0.25">
      <c r="A5" s="2" t="s">
        <v>31</v>
      </c>
      <c r="B5" s="17">
        <v>15298.19</v>
      </c>
      <c r="C5" s="12"/>
    </row>
    <row r="6" spans="1:4" x14ac:dyDescent="0.25">
      <c r="A6" s="18" t="s">
        <v>32</v>
      </c>
      <c r="B6" s="19">
        <v>9891.7800000000007</v>
      </c>
      <c r="C6" s="20">
        <v>0.39268724813884259</v>
      </c>
    </row>
    <row r="7" spans="1:4" x14ac:dyDescent="0.25">
      <c r="A7" s="2" t="s">
        <v>33</v>
      </c>
      <c r="B7" s="17">
        <v>100</v>
      </c>
      <c r="C7" s="12"/>
    </row>
    <row r="8" spans="1:4" x14ac:dyDescent="0.25">
      <c r="A8" s="18" t="s">
        <v>34</v>
      </c>
      <c r="B8" s="19">
        <v>9791.7800000000007</v>
      </c>
      <c r="C8" s="20">
        <v>0.38871741411363331</v>
      </c>
    </row>
    <row r="9" spans="1:4" x14ac:dyDescent="0.25">
      <c r="A9" s="2" t="s">
        <v>35</v>
      </c>
      <c r="B9" s="17">
        <v>1511.3982000000001</v>
      </c>
      <c r="C9" s="12"/>
    </row>
    <row r="10" spans="1:4" x14ac:dyDescent="0.25">
      <c r="A10" s="18" t="s">
        <v>36</v>
      </c>
      <c r="B10" s="19">
        <v>8280.381800000001</v>
      </c>
      <c r="C10" s="20">
        <v>0.32871741411363337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B8CE1-CCBB-4249-A847-1DBE874307DD}">
  <sheetPr codeName="Planilha6"/>
  <dimension ref="A1:H14"/>
  <sheetViews>
    <sheetView showGridLines="0" zoomScale="230" zoomScaleNormal="230" workbookViewId="0"/>
  </sheetViews>
  <sheetFormatPr defaultRowHeight="15" x14ac:dyDescent="0.25"/>
  <cols>
    <col min="1" max="1" width="10.42578125" bestFit="1" customWidth="1"/>
    <col min="2" max="2" width="13.42578125" bestFit="1" customWidth="1"/>
    <col min="3" max="3" width="9.7109375" bestFit="1" customWidth="1"/>
    <col min="4" max="4" width="10.28515625" bestFit="1" customWidth="1"/>
    <col min="5" max="5" width="8.5703125" bestFit="1" customWidth="1"/>
    <col min="6" max="7" width="6.85546875" bestFit="1" customWidth="1"/>
    <col min="8" max="8" width="8.42578125" bestFit="1" customWidth="1"/>
  </cols>
  <sheetData>
    <row r="1" spans="1:8" x14ac:dyDescent="0.25">
      <c r="A1" t="s">
        <v>4</v>
      </c>
      <c r="B1" t="s">
        <v>3</v>
      </c>
      <c r="C1" t="s">
        <v>9</v>
      </c>
      <c r="D1" t="s">
        <v>21</v>
      </c>
      <c r="E1" t="s">
        <v>19</v>
      </c>
      <c r="F1" t="s">
        <v>26</v>
      </c>
      <c r="G1" t="s">
        <v>53</v>
      </c>
      <c r="H1" t="s">
        <v>18</v>
      </c>
    </row>
    <row r="2" spans="1:8" x14ac:dyDescent="0.25">
      <c r="A2" t="s">
        <v>8</v>
      </c>
      <c r="B2" t="s">
        <v>7</v>
      </c>
      <c r="C2" t="s">
        <v>10</v>
      </c>
      <c r="D2" t="s">
        <v>24</v>
      </c>
      <c r="E2" t="s">
        <v>23</v>
      </c>
      <c r="F2">
        <v>2021</v>
      </c>
      <c r="H2" t="s">
        <v>22</v>
      </c>
    </row>
    <row r="3" spans="1:8" x14ac:dyDescent="0.25">
      <c r="A3" t="s">
        <v>39</v>
      </c>
      <c r="B3" t="s">
        <v>40</v>
      </c>
      <c r="C3" t="s">
        <v>44</v>
      </c>
      <c r="D3" t="s">
        <v>45</v>
      </c>
      <c r="E3" t="s">
        <v>46</v>
      </c>
      <c r="F3">
        <v>2022</v>
      </c>
      <c r="G3">
        <v>1</v>
      </c>
      <c r="H3" t="s">
        <v>38</v>
      </c>
    </row>
    <row r="4" spans="1:8" x14ac:dyDescent="0.25">
      <c r="A4" t="s">
        <v>41</v>
      </c>
      <c r="B4" t="s">
        <v>49</v>
      </c>
      <c r="C4" t="s">
        <v>48</v>
      </c>
      <c r="G4">
        <v>2</v>
      </c>
      <c r="H4" t="s">
        <v>25</v>
      </c>
    </row>
    <row r="5" spans="1:8" x14ac:dyDescent="0.25">
      <c r="A5" t="s">
        <v>47</v>
      </c>
      <c r="B5" t="s">
        <v>50</v>
      </c>
      <c r="C5" t="s">
        <v>52</v>
      </c>
      <c r="G5">
        <v>3</v>
      </c>
    </row>
    <row r="6" spans="1:8" x14ac:dyDescent="0.25">
      <c r="B6" t="s">
        <v>51</v>
      </c>
      <c r="C6" t="s">
        <v>55</v>
      </c>
      <c r="G6">
        <v>4</v>
      </c>
    </row>
    <row r="7" spans="1:8" x14ac:dyDescent="0.25">
      <c r="B7" t="s">
        <v>56</v>
      </c>
      <c r="G7">
        <v>5</v>
      </c>
    </row>
    <row r="8" spans="1:8" x14ac:dyDescent="0.25">
      <c r="G8">
        <v>6</v>
      </c>
    </row>
    <row r="9" spans="1:8" x14ac:dyDescent="0.25">
      <c r="G9">
        <v>7</v>
      </c>
    </row>
    <row r="10" spans="1:8" x14ac:dyDescent="0.25">
      <c r="G10">
        <v>8</v>
      </c>
    </row>
    <row r="11" spans="1:8" x14ac:dyDescent="0.25">
      <c r="G11">
        <v>9</v>
      </c>
    </row>
    <row r="12" spans="1:8" x14ac:dyDescent="0.25">
      <c r="G12">
        <v>10</v>
      </c>
    </row>
    <row r="13" spans="1:8" x14ac:dyDescent="0.25">
      <c r="G13">
        <v>11</v>
      </c>
    </row>
    <row r="14" spans="1:8" x14ac:dyDescent="0.25">
      <c r="G14">
        <v>12</v>
      </c>
    </row>
  </sheetData>
  <pageMargins left="0.511811024" right="0.511811024" top="0.78740157499999996" bottom="0.78740157499999996" header="0.31496062000000002" footer="0.31496062000000002"/>
  <drawing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46301-17BD-4C6A-8B8C-21BAD680D77F}">
  <sheetPr codeName="Planilha7"/>
  <dimension ref="A1:H4"/>
  <sheetViews>
    <sheetView workbookViewId="0"/>
  </sheetViews>
  <sheetFormatPr defaultRowHeight="15" x14ac:dyDescent="0.25"/>
  <cols>
    <col min="1" max="1" width="5.42578125" bestFit="1" customWidth="1"/>
    <col min="2" max="2" width="18.42578125" bestFit="1" customWidth="1"/>
    <col min="3" max="3" width="20.140625" bestFit="1" customWidth="1"/>
    <col min="4" max="4" width="12.140625" bestFit="1" customWidth="1"/>
    <col min="5" max="5" width="8.42578125" bestFit="1" customWidth="1"/>
    <col min="6" max="6" width="7.7109375" bestFit="1" customWidth="1"/>
    <col min="7" max="7" width="13.28515625" bestFit="1" customWidth="1"/>
    <col min="8" max="8" width="7.85546875" bestFit="1" customWidth="1"/>
    <col min="9" max="9" width="16.28515625" bestFit="1" customWidth="1"/>
  </cols>
  <sheetData>
    <row r="1" spans="1:8" x14ac:dyDescent="0.25">
      <c r="A1" s="1" t="s">
        <v>0</v>
      </c>
      <c r="B1" s="6" t="s">
        <v>1</v>
      </c>
      <c r="C1" s="6" t="s">
        <v>2</v>
      </c>
      <c r="D1" s="1" t="s">
        <v>17</v>
      </c>
      <c r="E1" s="1" t="s">
        <v>18</v>
      </c>
      <c r="F1" s="8" t="s">
        <v>19</v>
      </c>
      <c r="G1" s="11" t="s">
        <v>20</v>
      </c>
      <c r="H1" s="11" t="s">
        <v>21</v>
      </c>
    </row>
    <row r="2" spans="1:8" x14ac:dyDescent="0.25">
      <c r="A2" s="3">
        <v>1</v>
      </c>
      <c r="B2" s="4">
        <v>44484</v>
      </c>
      <c r="C2" s="4">
        <v>44484</v>
      </c>
      <c r="D2" s="3" t="s">
        <v>8</v>
      </c>
      <c r="E2" s="3" t="s">
        <v>22</v>
      </c>
      <c r="F2" s="9" t="s">
        <v>23</v>
      </c>
      <c r="G2" s="12">
        <v>-15298.19</v>
      </c>
      <c r="H2" s="15" t="s">
        <v>24</v>
      </c>
    </row>
    <row r="3" spans="1:8" x14ac:dyDescent="0.25">
      <c r="A3" s="3">
        <v>2</v>
      </c>
      <c r="B3" s="4">
        <v>44484</v>
      </c>
      <c r="C3" s="4">
        <v>44484</v>
      </c>
      <c r="D3" s="3" t="s">
        <v>8</v>
      </c>
      <c r="E3" s="3" t="s">
        <v>25</v>
      </c>
      <c r="F3" s="9" t="s">
        <v>23</v>
      </c>
      <c r="G3" s="12">
        <v>25189.97</v>
      </c>
      <c r="H3" s="15" t="s">
        <v>24</v>
      </c>
    </row>
    <row r="4" spans="1:8" x14ac:dyDescent="0.25">
      <c r="A4" s="3">
        <v>3</v>
      </c>
      <c r="B4" s="4">
        <v>44484</v>
      </c>
      <c r="C4" s="4">
        <v>44484</v>
      </c>
      <c r="D4" s="3" t="s">
        <v>37</v>
      </c>
      <c r="E4" s="3" t="s">
        <v>38</v>
      </c>
      <c r="F4" s="9" t="s">
        <v>23</v>
      </c>
      <c r="G4" s="12">
        <v>-100</v>
      </c>
      <c r="H4" s="15" t="s">
        <v>24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Compras</vt:lpstr>
      <vt:lpstr>Vendas</vt:lpstr>
      <vt:lpstr>Estoque</vt:lpstr>
      <vt:lpstr>Estoque_Aux</vt:lpstr>
      <vt:lpstr>Caixa</vt:lpstr>
      <vt:lpstr>DRE</vt:lpstr>
      <vt:lpstr>Cadastro</vt:lpstr>
      <vt:lpstr>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Amorim</dc:creator>
  <cp:lastModifiedBy>leandro miranda</cp:lastModifiedBy>
  <cp:lastPrinted>2022-01-28T13:23:33Z</cp:lastPrinted>
  <dcterms:created xsi:type="dcterms:W3CDTF">2021-10-15T20:04:38Z</dcterms:created>
  <dcterms:modified xsi:type="dcterms:W3CDTF">2023-10-19T00:58:54Z</dcterms:modified>
</cp:coreProperties>
</file>